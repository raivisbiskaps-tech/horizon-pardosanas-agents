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R mākoņrisinājumu līdz 30.06.2" sheetId="1" r:id="rId5"/>
    <sheet state="visible" name="abonēšnas cenas" sheetId="2" r:id="rId6"/>
    <sheet state="hidden" name="BEZ mākoņrisinājuma līdz 30.06." sheetId="3" r:id="rId7"/>
  </sheets>
  <definedNames/>
  <calcPr/>
</workbook>
</file>

<file path=xl/sharedStrings.xml><?xml version="1.0" encoding="utf-8"?>
<sst xmlns="http://schemas.openxmlformats.org/spreadsheetml/2006/main" count="76" uniqueCount="43">
  <si>
    <t>Programmas komplektācija</t>
  </si>
  <si>
    <t>Abonēšanas cena ceturksnī (bez PVN)</t>
  </si>
  <si>
    <t>Skaits</t>
  </si>
  <si>
    <t>Summa  (bez PVN)</t>
  </si>
  <si>
    <t>Abonēšanas cena mēnesī (bez PVN)</t>
  </si>
  <si>
    <t>Abonēšanas cena gadā (bez PVN)</t>
  </si>
  <si>
    <t>Pamatpaka: (iekļauts 2 vienlaicīgie lietotāji, 1 uzņēmums, 20 darbinieki, Bāzes, Algu un Personāla, Noliktavas funkcionalitātes)</t>
  </si>
  <si>
    <t>Papildu apjomi</t>
  </si>
  <si>
    <t>Papildu uzņēmums</t>
  </si>
  <si>
    <t>Papildu lietotājs</t>
  </si>
  <si>
    <t>ir apjoma atlaides</t>
  </si>
  <si>
    <t>Papildu darbinieki (+10 darbinieki)</t>
  </si>
  <si>
    <t>Papildu pakas</t>
  </si>
  <si>
    <t>Mazumtirdzniecība</t>
  </si>
  <si>
    <t>Vairumtirdzniecība</t>
  </si>
  <si>
    <t>Ražošana</t>
  </si>
  <si>
    <t>Apsaimniekošana</t>
  </si>
  <si>
    <t>Resursu uzskaite</t>
  </si>
  <si>
    <t>Norēķini</t>
  </si>
  <si>
    <t>Integrācija</t>
  </si>
  <si>
    <t>Vairāku firmu pārvaldība</t>
  </si>
  <si>
    <t>HoP</t>
  </si>
  <si>
    <t>Personāls (+10 lietotāji)</t>
  </si>
  <si>
    <t>Esmu iepazinies (+10 lietotāji)</t>
  </si>
  <si>
    <t>pieejams tikai kopā ar HoP Personāls. Skaitam ir jāsakrīt ar HoP Personāls skaitu.</t>
  </si>
  <si>
    <t>Rēķini  (+10 lietotāji)</t>
  </si>
  <si>
    <t>Materiālie resursi  (+10 lietotāji)</t>
  </si>
  <si>
    <t>Laika vadība  (+10 lietotāji)</t>
  </si>
  <si>
    <t>Atskaites  (+10 lietotāji)</t>
  </si>
  <si>
    <t>Kopā (bez PVN):</t>
  </si>
  <si>
    <t>Cenas aprēķins</t>
  </si>
  <si>
    <t>Cena mēnesī (EUR bez PVN)</t>
  </si>
  <si>
    <t>PAMATS (2 Horizon lietotājiem, 20 darbiniekiem)</t>
  </si>
  <si>
    <t>Papildu +10 darbinieki (līdz 250)</t>
  </si>
  <si>
    <t>Papildu +10 darbinieki (no 251. darbinieka)</t>
  </si>
  <si>
    <t>Papildu 1 Horizon lietotājs (līdz 10)</t>
  </si>
  <si>
    <t>Papildu 1 Horizon lietotājs (no 11. lietotāja)</t>
  </si>
  <si>
    <t>GRĀMATVEDĪBA PLUS (20 darbiniekiem)</t>
  </si>
  <si>
    <t>PERSONĀLS (20 HoP lietotāji)</t>
  </si>
  <si>
    <t>Papildu +10 HoP lietotāji (līdz 250)</t>
  </si>
  <si>
    <t>Papildu +10 HoP lietotāji  (no 251. HoP lietotāja)</t>
  </si>
  <si>
    <t>BIZNESS</t>
  </si>
  <si>
    <t>Piedāvājums spēkā tikai klientiem, ar kuriem līgums par Horizon uzturēšanu vai abonēšanu noslēgts pirms 01.01.2020.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</si>
</sst>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sz val="9.0"/>
      <color theme="1"/>
      <name val="Arial"/>
    </font>
    <font/>
    <font>
      <b/>
      <i/>
      <sz val="9.0"/>
      <color theme="1"/>
      <name val="Arial"/>
    </font>
    <font>
      <sz val="9.0"/>
      <color theme="1"/>
      <name val="Arial"/>
      <scheme val="minor"/>
    </font>
    <font>
      <sz val="9.0"/>
      <color theme="1"/>
      <name val="Arial"/>
    </font>
    <font>
      <i/>
      <sz val="9.0"/>
      <color theme="1"/>
      <name val="Calibri"/>
    </font>
    <font>
      <i/>
      <sz val="9.0"/>
      <color theme="1"/>
      <name val="Arial"/>
      <scheme val="minor"/>
    </font>
    <font>
      <b/>
      <i/>
      <sz val="9.0"/>
      <color theme="1"/>
      <name val="Calibri"/>
    </font>
    <font>
      <i/>
      <color theme="1"/>
      <name val="Arial"/>
      <scheme val="minor"/>
    </font>
    <font>
      <color theme="1"/>
      <name val="Arial"/>
      <scheme val="minor"/>
    </font>
    <font>
      <sz val="9.0"/>
      <color theme="1"/>
      <name val="Calibri"/>
    </font>
    <font>
      <b/>
      <sz val="9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B6D7A8"/>
        <bgColor rgb="FFB6D7A8"/>
      </patternFill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2" fillId="0" fontId="2" numFmtId="0" xfId="0" applyBorder="1" applyFont="1"/>
    <xf borderId="3" fillId="2" fontId="1" numFmtId="0" xfId="0" applyAlignment="1" applyBorder="1" applyFont="1">
      <alignment horizontal="center" readingOrder="0" shrinkToFit="0" wrapText="1"/>
    </xf>
    <xf borderId="3" fillId="2" fontId="1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left" shrinkToFit="0" wrapText="1"/>
    </xf>
    <xf borderId="0" fillId="0" fontId="4" numFmtId="0" xfId="0" applyFont="1"/>
    <xf borderId="1" fillId="0" fontId="5" numFmtId="0" xfId="0" applyAlignment="1" applyBorder="1" applyFont="1">
      <alignment horizontal="right" readingOrder="0" shrinkToFit="0" vertical="center" wrapText="1"/>
    </xf>
    <xf borderId="3" fillId="0" fontId="5" numFmtId="2" xfId="0" applyAlignment="1" applyBorder="1" applyFont="1" applyNumberFormat="1">
      <alignment horizontal="right" readingOrder="0" shrinkToFit="0" vertical="center" wrapText="1"/>
    </xf>
    <xf borderId="3" fillId="0" fontId="5" numFmtId="0" xfId="0" applyAlignment="1" applyBorder="1" applyFont="1">
      <alignment horizontal="center" shrinkToFit="0" vertical="center" wrapText="1"/>
    </xf>
    <xf borderId="3" fillId="0" fontId="5" numFmtId="2" xfId="0" applyAlignment="1" applyBorder="1" applyFont="1" applyNumberFormat="1">
      <alignment horizontal="right" shrinkToFit="0" vertical="center" wrapText="1"/>
    </xf>
    <xf borderId="0" fillId="0" fontId="6" numFmtId="2" xfId="0" applyAlignment="1" applyFont="1" applyNumberFormat="1">
      <alignment horizontal="left" vertical="bottom"/>
    </xf>
    <xf borderId="3" fillId="0" fontId="5" numFmtId="2" xfId="0" applyAlignment="1" applyBorder="1" applyFont="1" applyNumberFormat="1">
      <alignment horizontal="right" vertical="center"/>
    </xf>
    <xf borderId="3" fillId="0" fontId="5" numFmtId="2" xfId="0" applyAlignment="1" applyBorder="1" applyFont="1" applyNumberFormat="1">
      <alignment vertical="center"/>
    </xf>
    <xf borderId="4" fillId="0" fontId="5" numFmtId="0" xfId="0" applyAlignment="1" applyBorder="1" applyFont="1">
      <alignment shrinkToFit="0" vertical="top" wrapText="1"/>
    </xf>
    <xf borderId="3" fillId="0" fontId="5" numFmtId="0" xfId="0" applyAlignment="1" applyBorder="1" applyFont="1">
      <alignment horizontal="right" readingOrder="0" shrinkToFit="0" vertical="center" wrapText="1"/>
    </xf>
    <xf borderId="3" fillId="0" fontId="5" numFmtId="0" xfId="0" applyAlignment="1" applyBorder="1" applyFont="1">
      <alignment horizontal="center" readingOrder="0" shrinkToFit="0" vertical="center" wrapText="1"/>
    </xf>
    <xf borderId="5" fillId="0" fontId="2" numFmtId="0" xfId="0" applyBorder="1" applyFont="1"/>
    <xf borderId="3" fillId="0" fontId="5" numFmtId="0" xfId="0" applyAlignment="1" applyBorder="1" applyFont="1">
      <alignment horizontal="right" shrinkToFit="0" vertical="center" wrapText="1"/>
    </xf>
    <xf borderId="0" fillId="0" fontId="6" numFmtId="2" xfId="0" applyAlignment="1" applyFont="1" applyNumberFormat="1">
      <alignment horizontal="left" readingOrder="0" vertical="bottom"/>
    </xf>
    <xf borderId="6" fillId="0" fontId="2" numFmtId="0" xfId="0" applyBorder="1" applyFont="1"/>
    <xf borderId="0" fillId="0" fontId="7" numFmtId="0" xfId="0" applyAlignment="1" applyFont="1">
      <alignment readingOrder="0"/>
    </xf>
    <xf borderId="1" fillId="0" fontId="1" numFmtId="0" xfId="0" applyAlignment="1" applyBorder="1" applyFont="1">
      <alignment horizontal="right" readingOrder="0" shrinkToFit="0" vertical="center" wrapText="1"/>
    </xf>
    <xf borderId="7" fillId="0" fontId="2" numFmtId="0" xfId="0" applyBorder="1" applyFont="1"/>
    <xf borderId="3" fillId="0" fontId="1" numFmtId="2" xfId="0" applyAlignment="1" applyBorder="1" applyFont="1" applyNumberFormat="1">
      <alignment horizontal="right" shrinkToFit="0" vertical="center" wrapText="1"/>
    </xf>
    <xf borderId="0" fillId="0" fontId="8" numFmtId="0" xfId="0" applyAlignment="1" applyFont="1">
      <alignment horizontal="left" vertical="bottom"/>
    </xf>
    <xf borderId="3" fillId="0" fontId="1" numFmtId="2" xfId="0" applyAlignment="1" applyBorder="1" applyFont="1" applyNumberFormat="1">
      <alignment horizontal="right" vertical="center"/>
    </xf>
    <xf borderId="0" fillId="0" fontId="7" numFmtId="0" xfId="0" applyAlignment="1" applyFont="1">
      <alignment horizontal="left"/>
    </xf>
    <xf borderId="0" fillId="0" fontId="9" numFmtId="0" xfId="0" applyAlignment="1" applyFont="1">
      <alignment horizontal="left"/>
    </xf>
    <xf borderId="6" fillId="2" fontId="1" numFmtId="0" xfId="0" applyAlignment="1" applyBorder="1" applyFont="1">
      <alignment horizontal="left" readingOrder="0" shrinkToFit="0" vertical="center" wrapText="1"/>
    </xf>
    <xf borderId="6" fillId="2" fontId="1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readingOrder="0"/>
    </xf>
    <xf borderId="0" fillId="3" fontId="10" numFmtId="0" xfId="0" applyFill="1" applyFont="1"/>
    <xf borderId="0" fillId="3" fontId="10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center" readingOrder="0" shrinkToFit="0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shrinkToFit="0" wrapText="1"/>
    </xf>
    <xf borderId="0" fillId="0" fontId="11" numFmtId="2" xfId="0" applyAlignment="1" applyFont="1" applyNumberFormat="1">
      <alignment horizontal="right" vertical="bottom"/>
    </xf>
    <xf borderId="0" fillId="0" fontId="12" numFmtId="0" xfId="0" applyAlignment="1" applyFont="1">
      <alignment horizontal="right" vertical="bottom"/>
    </xf>
  </cellXfs>
  <cellStyles count="1">
    <cellStyle xfId="0" name="Normal" builtinId="0"/>
  </cellStyles>
  <dxfs count="1">
    <dxf>
      <font>
        <color rgb="FFFFFFFF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8.38"/>
    <col customWidth="1" min="2" max="2" width="37.38"/>
  </cols>
  <sheetData>
    <row r="1">
      <c r="A1" s="1" t="s">
        <v>0</v>
      </c>
      <c r="B1" s="2"/>
      <c r="C1" s="3" t="s">
        <v>1</v>
      </c>
      <c r="D1" s="4" t="s">
        <v>2</v>
      </c>
      <c r="E1" s="3" t="s">
        <v>3</v>
      </c>
      <c r="F1" s="5"/>
      <c r="G1" s="3" t="s">
        <v>4</v>
      </c>
      <c r="H1" s="3" t="s">
        <v>5</v>
      </c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ht="31.5" customHeight="1">
      <c r="A2" s="7" t="s">
        <v>6</v>
      </c>
      <c r="B2" s="2"/>
      <c r="C2" s="8">
        <v>195.0</v>
      </c>
      <c r="D2" s="9">
        <v>1.0</v>
      </c>
      <c r="E2" s="10">
        <f t="shared" ref="E2:E19" si="1">C2*D2</f>
        <v>195</v>
      </c>
      <c r="F2" s="11"/>
      <c r="G2" s="12">
        <f t="shared" ref="G2:G19" si="2">E2/3</f>
        <v>65</v>
      </c>
      <c r="H2" s="13">
        <f t="shared" ref="H2:H19" si="3">E2*4</f>
        <v>780</v>
      </c>
      <c r="I2" s="6"/>
      <c r="J2" s="6">
        <f>105+17*3*2</f>
        <v>207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ht="24.0" customHeight="1">
      <c r="A3" s="14" t="s">
        <v>7</v>
      </c>
      <c r="B3" s="15" t="s">
        <v>8</v>
      </c>
      <c r="C3" s="10">
        <v>24.0</v>
      </c>
      <c r="D3" s="16">
        <v>1.0</v>
      </c>
      <c r="E3" s="10">
        <f t="shared" si="1"/>
        <v>24</v>
      </c>
      <c r="F3" s="11"/>
      <c r="G3" s="12">
        <f t="shared" si="2"/>
        <v>8</v>
      </c>
      <c r="H3" s="13">
        <f t="shared" si="3"/>
        <v>96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ht="24.0" customHeight="1">
      <c r="A4" s="17"/>
      <c r="B4" s="18" t="s">
        <v>9</v>
      </c>
      <c r="C4" s="8">
        <v>105.0</v>
      </c>
      <c r="D4" s="16">
        <v>1.0</v>
      </c>
      <c r="E4" s="10">
        <f t="shared" si="1"/>
        <v>105</v>
      </c>
      <c r="F4" s="19" t="s">
        <v>10</v>
      </c>
      <c r="G4" s="12">
        <f t="shared" si="2"/>
        <v>35</v>
      </c>
      <c r="H4" s="13">
        <f t="shared" si="3"/>
        <v>420</v>
      </c>
      <c r="I4" s="6"/>
      <c r="J4" s="6">
        <f>60+17*1</f>
        <v>77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ht="24.0" customHeight="1">
      <c r="A5" s="20"/>
      <c r="B5" s="18" t="s">
        <v>11</v>
      </c>
      <c r="C5" s="10">
        <v>12.0</v>
      </c>
      <c r="D5" s="16">
        <v>1.0</v>
      </c>
      <c r="E5" s="10">
        <f t="shared" si="1"/>
        <v>12</v>
      </c>
      <c r="F5" s="11"/>
      <c r="G5" s="12">
        <f t="shared" si="2"/>
        <v>4</v>
      </c>
      <c r="H5" s="13">
        <f t="shared" si="3"/>
        <v>48</v>
      </c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ht="24.0" customHeight="1">
      <c r="A6" s="14" t="s">
        <v>12</v>
      </c>
      <c r="B6" s="18" t="s">
        <v>13</v>
      </c>
      <c r="C6" s="10">
        <v>105.0</v>
      </c>
      <c r="D6" s="16">
        <v>1.0</v>
      </c>
      <c r="E6" s="10">
        <f t="shared" si="1"/>
        <v>105</v>
      </c>
      <c r="F6" s="11"/>
      <c r="G6" s="12">
        <f t="shared" si="2"/>
        <v>35</v>
      </c>
      <c r="H6" s="13">
        <f t="shared" si="3"/>
        <v>420</v>
      </c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ht="24.0" customHeight="1">
      <c r="A7" s="17"/>
      <c r="B7" s="18" t="s">
        <v>14</v>
      </c>
      <c r="C7" s="10">
        <v>105.0</v>
      </c>
      <c r="D7" s="16">
        <v>1.0</v>
      </c>
      <c r="E7" s="10">
        <f t="shared" si="1"/>
        <v>105</v>
      </c>
      <c r="F7" s="11"/>
      <c r="G7" s="12">
        <f t="shared" si="2"/>
        <v>35</v>
      </c>
      <c r="H7" s="13">
        <f t="shared" si="3"/>
        <v>420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ht="24.0" customHeight="1">
      <c r="A8" s="17"/>
      <c r="B8" s="18" t="s">
        <v>15</v>
      </c>
      <c r="C8" s="10">
        <v>105.0</v>
      </c>
      <c r="D8" s="16">
        <v>1.0</v>
      </c>
      <c r="E8" s="10">
        <f t="shared" si="1"/>
        <v>105</v>
      </c>
      <c r="F8" s="11"/>
      <c r="G8" s="12">
        <f t="shared" si="2"/>
        <v>35</v>
      </c>
      <c r="H8" s="13">
        <f t="shared" si="3"/>
        <v>420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ht="24.0" customHeight="1">
      <c r="A9" s="17"/>
      <c r="B9" s="18" t="s">
        <v>16</v>
      </c>
      <c r="C9" s="10">
        <v>105.0</v>
      </c>
      <c r="D9" s="16">
        <v>1.0</v>
      </c>
      <c r="E9" s="10">
        <f t="shared" si="1"/>
        <v>105</v>
      </c>
      <c r="F9" s="11"/>
      <c r="G9" s="12">
        <f t="shared" si="2"/>
        <v>35</v>
      </c>
      <c r="H9" s="13">
        <f t="shared" si="3"/>
        <v>420</v>
      </c>
      <c r="I9" s="6"/>
      <c r="J9" s="6">
        <f>(35+17)</f>
        <v>52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ht="24.0" customHeight="1">
      <c r="A10" s="17"/>
      <c r="B10" s="18" t="s">
        <v>17</v>
      </c>
      <c r="C10" s="10">
        <v>105.0</v>
      </c>
      <c r="D10" s="16">
        <v>1.0</v>
      </c>
      <c r="E10" s="10">
        <f t="shared" si="1"/>
        <v>105</v>
      </c>
      <c r="F10" s="11"/>
      <c r="G10" s="12">
        <f t="shared" si="2"/>
        <v>35</v>
      </c>
      <c r="H10" s="13">
        <f t="shared" si="3"/>
        <v>420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ht="24.0" customHeight="1">
      <c r="A11" s="17"/>
      <c r="B11" s="18" t="s">
        <v>18</v>
      </c>
      <c r="C11" s="10">
        <v>105.0</v>
      </c>
      <c r="D11" s="16">
        <v>1.0</v>
      </c>
      <c r="E11" s="10">
        <f t="shared" si="1"/>
        <v>105</v>
      </c>
      <c r="F11" s="11"/>
      <c r="G11" s="12">
        <f t="shared" si="2"/>
        <v>35</v>
      </c>
      <c r="H11" s="13">
        <f t="shared" si="3"/>
        <v>420</v>
      </c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ht="24.0" customHeight="1">
      <c r="A12" s="17"/>
      <c r="B12" s="18" t="s">
        <v>19</v>
      </c>
      <c r="C12" s="10">
        <v>105.0</v>
      </c>
      <c r="D12" s="16">
        <v>1.0</v>
      </c>
      <c r="E12" s="10">
        <f t="shared" si="1"/>
        <v>105</v>
      </c>
      <c r="F12" s="11"/>
      <c r="G12" s="12">
        <f t="shared" si="2"/>
        <v>35</v>
      </c>
      <c r="H12" s="13">
        <f t="shared" si="3"/>
        <v>420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ht="24.0" customHeight="1">
      <c r="A13" s="20"/>
      <c r="B13" s="18" t="s">
        <v>20</v>
      </c>
      <c r="C13" s="10">
        <v>105.0</v>
      </c>
      <c r="D13" s="16">
        <v>1.0</v>
      </c>
      <c r="E13" s="10">
        <f t="shared" si="1"/>
        <v>105</v>
      </c>
      <c r="F13" s="11"/>
      <c r="G13" s="12">
        <f t="shared" si="2"/>
        <v>35</v>
      </c>
      <c r="H13" s="13">
        <f t="shared" si="3"/>
        <v>420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ht="24.0" customHeight="1">
      <c r="A14" s="14" t="s">
        <v>21</v>
      </c>
      <c r="B14" s="18" t="s">
        <v>22</v>
      </c>
      <c r="C14" s="10">
        <v>22.5</v>
      </c>
      <c r="D14" s="16">
        <v>1.0</v>
      </c>
      <c r="E14" s="10">
        <f t="shared" si="1"/>
        <v>22.5</v>
      </c>
      <c r="F14" s="19" t="s">
        <v>10</v>
      </c>
      <c r="G14" s="12">
        <f t="shared" si="2"/>
        <v>7.5</v>
      </c>
      <c r="H14" s="13">
        <f t="shared" si="3"/>
        <v>90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ht="24.0" customHeight="1">
      <c r="A15" s="17"/>
      <c r="B15" s="18" t="s">
        <v>23</v>
      </c>
      <c r="C15" s="10">
        <v>10.5</v>
      </c>
      <c r="D15" s="16">
        <v>1.0</v>
      </c>
      <c r="E15" s="10">
        <f t="shared" si="1"/>
        <v>10.5</v>
      </c>
      <c r="F15" s="11"/>
      <c r="G15" s="12">
        <f t="shared" si="2"/>
        <v>3.5</v>
      </c>
      <c r="H15" s="13">
        <f t="shared" si="3"/>
        <v>42</v>
      </c>
      <c r="I15" s="21" t="s">
        <v>24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ht="24.0" customHeight="1">
      <c r="A16" s="17"/>
      <c r="B16" s="18" t="s">
        <v>25</v>
      </c>
      <c r="C16" s="10">
        <v>22.5</v>
      </c>
      <c r="D16" s="16">
        <v>1.0</v>
      </c>
      <c r="E16" s="10">
        <f t="shared" si="1"/>
        <v>22.5</v>
      </c>
      <c r="F16" s="11"/>
      <c r="G16" s="12">
        <f t="shared" si="2"/>
        <v>7.5</v>
      </c>
      <c r="H16" s="13">
        <f t="shared" si="3"/>
        <v>90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ht="24.0" customHeight="1">
      <c r="A17" s="17"/>
      <c r="B17" s="18" t="s">
        <v>26</v>
      </c>
      <c r="C17" s="10">
        <v>22.5</v>
      </c>
      <c r="D17" s="16">
        <v>1.0</v>
      </c>
      <c r="E17" s="10">
        <f t="shared" si="1"/>
        <v>22.5</v>
      </c>
      <c r="F17" s="11"/>
      <c r="G17" s="12">
        <f t="shared" si="2"/>
        <v>7.5</v>
      </c>
      <c r="H17" s="13">
        <f t="shared" si="3"/>
        <v>90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ht="24.0" customHeight="1">
      <c r="A18" s="17"/>
      <c r="B18" s="18" t="s">
        <v>27</v>
      </c>
      <c r="C18" s="10">
        <v>22.5</v>
      </c>
      <c r="D18" s="16">
        <v>1.0</v>
      </c>
      <c r="E18" s="10">
        <f t="shared" si="1"/>
        <v>22.5</v>
      </c>
      <c r="F18" s="11"/>
      <c r="G18" s="12">
        <f t="shared" si="2"/>
        <v>7.5</v>
      </c>
      <c r="H18" s="13">
        <f t="shared" si="3"/>
        <v>90</v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ht="24.0" customHeight="1">
      <c r="A19" s="20"/>
      <c r="B19" s="18" t="s">
        <v>28</v>
      </c>
      <c r="C19" s="10">
        <v>22.5</v>
      </c>
      <c r="D19" s="16">
        <v>1.0</v>
      </c>
      <c r="E19" s="10">
        <f t="shared" si="1"/>
        <v>22.5</v>
      </c>
      <c r="F19" s="11"/>
      <c r="G19" s="12">
        <f t="shared" si="2"/>
        <v>7.5</v>
      </c>
      <c r="H19" s="13">
        <f t="shared" si="3"/>
        <v>90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ht="24.75" customHeight="1">
      <c r="A20" s="22" t="s">
        <v>29</v>
      </c>
      <c r="B20" s="23"/>
      <c r="C20" s="23"/>
      <c r="D20" s="2"/>
      <c r="E20" s="24">
        <f>SUM(E2:E19)</f>
        <v>1299</v>
      </c>
      <c r="F20" s="25"/>
      <c r="G20" s="26">
        <f t="shared" ref="G20:H20" si="4">SUM(G1:G19)</f>
        <v>433</v>
      </c>
      <c r="H20" s="26">
        <f t="shared" si="4"/>
        <v>5196</v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6"/>
      <c r="B21" s="6"/>
      <c r="C21" s="6"/>
      <c r="D21" s="6"/>
      <c r="E21" s="6"/>
      <c r="F21" s="27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6"/>
      <c r="B22" s="6"/>
      <c r="C22" s="6"/>
      <c r="D22" s="6"/>
      <c r="E22" s="6"/>
      <c r="F22" s="27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6"/>
      <c r="C23" s="6"/>
      <c r="D23" s="6"/>
      <c r="E23" s="6"/>
      <c r="F23" s="27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6"/>
      <c r="C24" s="6"/>
      <c r="D24" s="6"/>
      <c r="E24" s="6"/>
      <c r="F24" s="27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6"/>
      <c r="C25" s="6"/>
      <c r="D25" s="6"/>
      <c r="E25" s="6"/>
      <c r="F25" s="27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6"/>
      <c r="C26" s="6"/>
      <c r="D26" s="6"/>
      <c r="E26" s="6"/>
      <c r="F26" s="27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6"/>
      <c r="C27" s="6"/>
      <c r="D27" s="6"/>
      <c r="E27" s="6"/>
      <c r="F27" s="27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6"/>
      <c r="C28" s="6"/>
      <c r="D28" s="6"/>
      <c r="E28" s="6"/>
      <c r="F28" s="27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6"/>
      <c r="C29" s="6"/>
      <c r="D29" s="6"/>
      <c r="E29" s="6"/>
      <c r="F29" s="27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6"/>
      <c r="C30" s="6"/>
      <c r="D30" s="6"/>
      <c r="E30" s="6"/>
      <c r="F30" s="27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6"/>
      <c r="C31" s="6"/>
      <c r="D31" s="6"/>
      <c r="E31" s="6"/>
      <c r="F31" s="27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6"/>
      <c r="C32" s="6"/>
      <c r="D32" s="6"/>
      <c r="E32" s="6"/>
      <c r="F32" s="27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6"/>
      <c r="C33" s="6"/>
      <c r="D33" s="6"/>
      <c r="E33" s="6"/>
      <c r="F33" s="27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6"/>
      <c r="C34" s="6"/>
      <c r="D34" s="6"/>
      <c r="E34" s="6"/>
      <c r="F34" s="27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6"/>
      <c r="C35" s="6"/>
      <c r="D35" s="6"/>
      <c r="E35" s="6"/>
      <c r="F35" s="27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6"/>
      <c r="C36" s="6"/>
      <c r="D36" s="6"/>
      <c r="E36" s="6"/>
      <c r="F36" s="27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6"/>
      <c r="C37" s="6"/>
      <c r="D37" s="6"/>
      <c r="E37" s="6"/>
      <c r="F37" s="27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6"/>
      <c r="C38" s="6"/>
      <c r="D38" s="6"/>
      <c r="E38" s="6"/>
      <c r="F38" s="27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6"/>
      <c r="C39" s="6"/>
      <c r="D39" s="6"/>
      <c r="E39" s="6"/>
      <c r="F39" s="27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6"/>
      <c r="C40" s="6"/>
      <c r="D40" s="6"/>
      <c r="E40" s="6"/>
      <c r="F40" s="27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6"/>
      <c r="C41" s="6"/>
      <c r="D41" s="6"/>
      <c r="E41" s="6"/>
      <c r="F41" s="27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6"/>
      <c r="C42" s="6"/>
      <c r="D42" s="6"/>
      <c r="E42" s="6"/>
      <c r="F42" s="27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6"/>
      <c r="C43" s="6"/>
      <c r="D43" s="6"/>
      <c r="E43" s="6"/>
      <c r="F43" s="27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6"/>
      <c r="C44" s="6"/>
      <c r="D44" s="6"/>
      <c r="E44" s="6"/>
      <c r="F44" s="27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6"/>
      <c r="C45" s="6"/>
      <c r="D45" s="6"/>
      <c r="E45" s="6"/>
      <c r="F45" s="27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6"/>
      <c r="C46" s="6"/>
      <c r="D46" s="6"/>
      <c r="E46" s="6"/>
      <c r="F46" s="27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6"/>
      <c r="C47" s="6"/>
      <c r="D47" s="6"/>
      <c r="E47" s="6"/>
      <c r="F47" s="27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6"/>
      <c r="C48" s="6"/>
      <c r="D48" s="6"/>
      <c r="E48" s="6"/>
      <c r="F48" s="27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6"/>
      <c r="C49" s="6"/>
      <c r="D49" s="6"/>
      <c r="E49" s="6"/>
      <c r="F49" s="27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6"/>
      <c r="C50" s="6"/>
      <c r="D50" s="6"/>
      <c r="E50" s="6"/>
      <c r="F50" s="27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6"/>
      <c r="C51" s="6"/>
      <c r="D51" s="6"/>
      <c r="E51" s="6"/>
      <c r="F51" s="27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6"/>
      <c r="C52" s="6"/>
      <c r="D52" s="6"/>
      <c r="E52" s="6"/>
      <c r="F52" s="27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6"/>
      <c r="C53" s="6"/>
      <c r="D53" s="6"/>
      <c r="E53" s="6"/>
      <c r="F53" s="27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6"/>
      <c r="C54" s="6"/>
      <c r="D54" s="6"/>
      <c r="E54" s="6"/>
      <c r="F54" s="27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6"/>
      <c r="C55" s="6"/>
      <c r="D55" s="6"/>
      <c r="E55" s="6"/>
      <c r="F55" s="27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6"/>
      <c r="C56" s="6"/>
      <c r="D56" s="6"/>
      <c r="E56" s="6"/>
      <c r="F56" s="27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6"/>
      <c r="C57" s="6"/>
      <c r="D57" s="6"/>
      <c r="E57" s="6"/>
      <c r="F57" s="27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6"/>
      <c r="C58" s="6"/>
      <c r="D58" s="6"/>
      <c r="E58" s="6"/>
      <c r="F58" s="27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6"/>
      <c r="C59" s="6"/>
      <c r="D59" s="6"/>
      <c r="E59" s="6"/>
      <c r="F59" s="27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6"/>
      <c r="C60" s="6"/>
      <c r="D60" s="6"/>
      <c r="E60" s="6"/>
      <c r="F60" s="27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6"/>
      <c r="C61" s="6"/>
      <c r="D61" s="6"/>
      <c r="E61" s="6"/>
      <c r="F61" s="27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6"/>
      <c r="C62" s="6"/>
      <c r="D62" s="6"/>
      <c r="E62" s="6"/>
      <c r="F62" s="27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6"/>
      <c r="C63" s="6"/>
      <c r="D63" s="6"/>
      <c r="E63" s="6"/>
      <c r="F63" s="27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6"/>
      <c r="C64" s="6"/>
      <c r="D64" s="6"/>
      <c r="E64" s="6"/>
      <c r="F64" s="27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6"/>
      <c r="D65" s="6"/>
      <c r="E65" s="6"/>
      <c r="F65" s="27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6"/>
      <c r="D66" s="6"/>
      <c r="E66" s="6"/>
      <c r="F66" s="27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6"/>
      <c r="D67" s="6"/>
      <c r="E67" s="6"/>
      <c r="F67" s="27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6"/>
      <c r="D68" s="6"/>
      <c r="E68" s="6"/>
      <c r="F68" s="27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6"/>
      <c r="D69" s="6"/>
      <c r="E69" s="6"/>
      <c r="F69" s="27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6"/>
      <c r="D70" s="6"/>
      <c r="E70" s="6"/>
      <c r="F70" s="27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6"/>
      <c r="D71" s="6"/>
      <c r="E71" s="6"/>
      <c r="F71" s="27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6"/>
      <c r="D72" s="6"/>
      <c r="E72" s="6"/>
      <c r="F72" s="27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6"/>
      <c r="D73" s="6"/>
      <c r="E73" s="6"/>
      <c r="F73" s="27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6"/>
      <c r="D74" s="6"/>
      <c r="E74" s="6"/>
      <c r="F74" s="27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6"/>
      <c r="D75" s="6"/>
      <c r="E75" s="6"/>
      <c r="F75" s="27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27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27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27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27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27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27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27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27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27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27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27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27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27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27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27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27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27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27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27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27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27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27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27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27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27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27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27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27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27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27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27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27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27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27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27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27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27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27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27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27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27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27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27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27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27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27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27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27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27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27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27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27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27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27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27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27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27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27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27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27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27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27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27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27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27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27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27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27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27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27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27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27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27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27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27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27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27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27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27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27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27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27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27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27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27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27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27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27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27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27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27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27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27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27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27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27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27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27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27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27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27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27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27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27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27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27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27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27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27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27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27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27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27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27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27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27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27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27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27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27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27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27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27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27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27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27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27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27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27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27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27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27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27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27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27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27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27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27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27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27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27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27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27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27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27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27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27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27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27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27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27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27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27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27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27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27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27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27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27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27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27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27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27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27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27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27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27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27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27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27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27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27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27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27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27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27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27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27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27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27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27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27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27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27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27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27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27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27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27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27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27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27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27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27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27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27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27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27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27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27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27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27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27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27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27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27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27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27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27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27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27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27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27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27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27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27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27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27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27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27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27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27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27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27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27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27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27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27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27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27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27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27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27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27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27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27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27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27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27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27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27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27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27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27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27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27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27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27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27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27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27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27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27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27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27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27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27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27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27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27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27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27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27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27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27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27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27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27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27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27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27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27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27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27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27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27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27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27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27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27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27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27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27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27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27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27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27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27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27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27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27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27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27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27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27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27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27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27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27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27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27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27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27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27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27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27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27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27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27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27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27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27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27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27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27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27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27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27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27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27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27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27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27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27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27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27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27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27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27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27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27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27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27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27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27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27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27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27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27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27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27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27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27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27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27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27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27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27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27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27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27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27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27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27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27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27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27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27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27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27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27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27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27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27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27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27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27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27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27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27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27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27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27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27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27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27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27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27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27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27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27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27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27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27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27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27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27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27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27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27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27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27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27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27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27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27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27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27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27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27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27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27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27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27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27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27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27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27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27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27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27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27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27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27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27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27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27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27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27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27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27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27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27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27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27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27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27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27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27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27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27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27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27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27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27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27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27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27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27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27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27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27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27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27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27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27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27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27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27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27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27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27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27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27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27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27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27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27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27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27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27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27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27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27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27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27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27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27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27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27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27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27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27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27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27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27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27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27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27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27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27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27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27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27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27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27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27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27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27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27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27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27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27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27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27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27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27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27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27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27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27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27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27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27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27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27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27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27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27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27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27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27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27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27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27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27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27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27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27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27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27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27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27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27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27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27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27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27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27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27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27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27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27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27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27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27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27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27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27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27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27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27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27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27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27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27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27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27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27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27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27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27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27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27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27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27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27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27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27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27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27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27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27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27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27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27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27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27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27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27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27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27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27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27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27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27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27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27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27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27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27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27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27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27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27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27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27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27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27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27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27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27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27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27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27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27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27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27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27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27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27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27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27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27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27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27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27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27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27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27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27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27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27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27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27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27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27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27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27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27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27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27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27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27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27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27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27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27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27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27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27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27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27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27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27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27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27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27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27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27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27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27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27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27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27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27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27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27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27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27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27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27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27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27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27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27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27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27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27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27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27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27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27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27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27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27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27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27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27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27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27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27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27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27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27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27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27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27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27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27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27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27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27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27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27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27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27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27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27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27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27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27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27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27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27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27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27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27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27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27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27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27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27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27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27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27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27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27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27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27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27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27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27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27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27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27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27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27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27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27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27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27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27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27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27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27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27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27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27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27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27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27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27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27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27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27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27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27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27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27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27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27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27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27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27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27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27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27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27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27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27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27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27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27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27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27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27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27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27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27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27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27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27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27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27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27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27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27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27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27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27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27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27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27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27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27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27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27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27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27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27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27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27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27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27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27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27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27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27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27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27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27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27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27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27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27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27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27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27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27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27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27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27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27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27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27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27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27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27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27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27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27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27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27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27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27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27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27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27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27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27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27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27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27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27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27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27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27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27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27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27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27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27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27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27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27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27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27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27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27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27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27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27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27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27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27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27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27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27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27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27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27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27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27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27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27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27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27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27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27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27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27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27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27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27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27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27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27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27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27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27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27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27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27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27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27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27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27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27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27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27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27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27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27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27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27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27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27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27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27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27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27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27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27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27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27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27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27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27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27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27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27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27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27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27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27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27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27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27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27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27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27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27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27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27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27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27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27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27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27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27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27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27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27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F1000" s="28"/>
    </row>
  </sheetData>
  <mergeCells count="6">
    <mergeCell ref="A1:B1"/>
    <mergeCell ref="A2:B2"/>
    <mergeCell ref="A3:A5"/>
    <mergeCell ref="A6:A13"/>
    <mergeCell ref="A14:A19"/>
    <mergeCell ref="A20:D20"/>
  </mergeCells>
  <conditionalFormatting sqref="D2:E19">
    <cfRule type="cellIs" dxfId="0" priority="1" operator="lessThan">
      <formula>1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2.75"/>
    <col customWidth="1" min="2" max="2" width="19.25"/>
  </cols>
  <sheetData>
    <row r="1" ht="35.25" customHeight="1">
      <c r="A1" s="29" t="s">
        <v>30</v>
      </c>
      <c r="B1" s="30" t="s">
        <v>31</v>
      </c>
    </row>
    <row r="2" ht="23.25" customHeight="1">
      <c r="A2" s="31" t="s">
        <v>32</v>
      </c>
      <c r="B2" s="32">
        <v>74.0</v>
      </c>
    </row>
    <row r="3" ht="23.25" customHeight="1">
      <c r="A3" s="31" t="s">
        <v>33</v>
      </c>
      <c r="B3" s="33">
        <v>6.5</v>
      </c>
    </row>
    <row r="4" ht="23.25" customHeight="1">
      <c r="A4" s="31" t="s">
        <v>34</v>
      </c>
      <c r="B4" s="32">
        <v>4.0</v>
      </c>
    </row>
    <row r="5" ht="23.25" customHeight="1">
      <c r="A5" s="31" t="s">
        <v>35</v>
      </c>
      <c r="B5" s="32">
        <v>36.0</v>
      </c>
    </row>
    <row r="6" ht="23.25" customHeight="1">
      <c r="A6" s="31" t="s">
        <v>36</v>
      </c>
      <c r="B6" s="32">
        <v>33.0</v>
      </c>
    </row>
    <row r="7" ht="23.25" customHeight="1">
      <c r="A7" s="31" t="s">
        <v>37</v>
      </c>
      <c r="B7" s="32">
        <v>25.0</v>
      </c>
    </row>
    <row r="8" ht="23.25" customHeight="1">
      <c r="A8" s="31" t="s">
        <v>33</v>
      </c>
      <c r="B8" s="32">
        <v>7.0</v>
      </c>
    </row>
    <row r="9" ht="23.25" customHeight="1">
      <c r="A9" s="31" t="s">
        <v>34</v>
      </c>
      <c r="B9" s="32">
        <v>5.0</v>
      </c>
    </row>
    <row r="10" ht="23.25" customHeight="1">
      <c r="A10" s="31" t="s">
        <v>38</v>
      </c>
      <c r="B10" s="32">
        <v>25.0</v>
      </c>
    </row>
    <row r="11" ht="23.25" customHeight="1">
      <c r="A11" s="31" t="s">
        <v>39</v>
      </c>
      <c r="B11" s="32">
        <v>12.5</v>
      </c>
    </row>
    <row r="12" ht="23.25" customHeight="1">
      <c r="A12" s="31" t="s">
        <v>40</v>
      </c>
      <c r="B12" s="32">
        <v>9.0</v>
      </c>
    </row>
    <row r="13" ht="23.25" customHeight="1">
      <c r="A13" s="31" t="s">
        <v>41</v>
      </c>
      <c r="B13" s="32">
        <v>46.0</v>
      </c>
    </row>
    <row r="14" ht="23.25" customHeight="1"/>
    <row r="15" ht="23.2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38"/>
    <col customWidth="1" min="2" max="2" width="37.38"/>
  </cols>
  <sheetData>
    <row r="1">
      <c r="A1" s="34" t="s">
        <v>42</v>
      </c>
      <c r="B1" s="35"/>
      <c r="C1" s="36"/>
      <c r="D1" s="37"/>
      <c r="E1" s="36"/>
      <c r="F1" s="38"/>
      <c r="G1" s="36"/>
      <c r="H1" s="3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35"/>
      <c r="B2" s="35"/>
      <c r="C2" s="36"/>
      <c r="D2" s="37"/>
      <c r="E2" s="36"/>
      <c r="F2" s="38"/>
      <c r="G2" s="36"/>
      <c r="H2" s="3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" t="s">
        <v>0</v>
      </c>
      <c r="B3" s="2"/>
      <c r="C3" s="3" t="s">
        <v>1</v>
      </c>
      <c r="D3" s="4" t="s">
        <v>2</v>
      </c>
      <c r="E3" s="3" t="s">
        <v>3</v>
      </c>
      <c r="F3" s="38"/>
      <c r="G3" s="3" t="s">
        <v>4</v>
      </c>
      <c r="H3" s="3" t="s">
        <v>5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ht="31.5" customHeight="1">
      <c r="A4" s="7" t="s">
        <v>6</v>
      </c>
      <c r="B4" s="2"/>
      <c r="C4" s="8">
        <v>108.0</v>
      </c>
      <c r="D4" s="9">
        <v>1.0</v>
      </c>
      <c r="E4" s="10">
        <f t="shared" ref="E4:E21" si="1">C4*D4</f>
        <v>108</v>
      </c>
      <c r="F4" s="39"/>
      <c r="G4" s="12">
        <f t="shared" ref="G4:G21" si="2">E4/3</f>
        <v>36</v>
      </c>
      <c r="H4" s="13">
        <f t="shared" ref="H4:H21" si="3">E4*4</f>
        <v>432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ht="24.0" customHeight="1">
      <c r="A5" s="14" t="s">
        <v>7</v>
      </c>
      <c r="B5" s="15" t="s">
        <v>8</v>
      </c>
      <c r="C5" s="10">
        <v>24.0</v>
      </c>
      <c r="D5" s="16">
        <v>1.0</v>
      </c>
      <c r="E5" s="10">
        <f t="shared" si="1"/>
        <v>24</v>
      </c>
      <c r="F5" s="39"/>
      <c r="G5" s="12">
        <f t="shared" si="2"/>
        <v>8</v>
      </c>
      <c r="H5" s="13">
        <f t="shared" si="3"/>
        <v>96</v>
      </c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ht="24.0" customHeight="1">
      <c r="A6" s="17"/>
      <c r="B6" s="18" t="s">
        <v>9</v>
      </c>
      <c r="C6" s="8">
        <v>63.0</v>
      </c>
      <c r="D6" s="16">
        <v>1.0</v>
      </c>
      <c r="E6" s="10">
        <f t="shared" si="1"/>
        <v>63</v>
      </c>
      <c r="F6" s="39"/>
      <c r="G6" s="12">
        <f t="shared" si="2"/>
        <v>21</v>
      </c>
      <c r="H6" s="13">
        <f t="shared" si="3"/>
        <v>252</v>
      </c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ht="24.0" customHeight="1">
      <c r="A7" s="20"/>
      <c r="B7" s="18" t="s">
        <v>11</v>
      </c>
      <c r="C7" s="10">
        <v>12.0</v>
      </c>
      <c r="D7" s="16">
        <v>1.0</v>
      </c>
      <c r="E7" s="10">
        <f t="shared" si="1"/>
        <v>12</v>
      </c>
      <c r="F7" s="39"/>
      <c r="G7" s="12">
        <f t="shared" si="2"/>
        <v>4</v>
      </c>
      <c r="H7" s="13">
        <f t="shared" si="3"/>
        <v>48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ht="24.0" customHeight="1">
      <c r="A8" s="14" t="s">
        <v>12</v>
      </c>
      <c r="B8" s="18" t="s">
        <v>13</v>
      </c>
      <c r="C8" s="10">
        <v>105.0</v>
      </c>
      <c r="D8" s="16">
        <v>1.0</v>
      </c>
      <c r="E8" s="10">
        <f t="shared" si="1"/>
        <v>105</v>
      </c>
      <c r="F8" s="39"/>
      <c r="G8" s="12">
        <f t="shared" si="2"/>
        <v>35</v>
      </c>
      <c r="H8" s="13">
        <f t="shared" si="3"/>
        <v>420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ht="24.0" customHeight="1">
      <c r="A9" s="17"/>
      <c r="B9" s="18" t="s">
        <v>14</v>
      </c>
      <c r="C9" s="10">
        <v>105.0</v>
      </c>
      <c r="D9" s="16">
        <v>1.0</v>
      </c>
      <c r="E9" s="10">
        <f t="shared" si="1"/>
        <v>105</v>
      </c>
      <c r="F9" s="39"/>
      <c r="G9" s="12">
        <f t="shared" si="2"/>
        <v>35</v>
      </c>
      <c r="H9" s="13">
        <f t="shared" si="3"/>
        <v>420</v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ht="24.0" customHeight="1">
      <c r="A10" s="17"/>
      <c r="B10" s="18" t="s">
        <v>15</v>
      </c>
      <c r="C10" s="10">
        <v>105.0</v>
      </c>
      <c r="D10" s="16">
        <v>1.0</v>
      </c>
      <c r="E10" s="10">
        <f t="shared" si="1"/>
        <v>105</v>
      </c>
      <c r="F10" s="39"/>
      <c r="G10" s="12">
        <f t="shared" si="2"/>
        <v>35</v>
      </c>
      <c r="H10" s="13">
        <f t="shared" si="3"/>
        <v>420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ht="24.0" customHeight="1">
      <c r="A11" s="17"/>
      <c r="B11" s="18" t="s">
        <v>16</v>
      </c>
      <c r="C11" s="10">
        <v>105.0</v>
      </c>
      <c r="D11" s="16">
        <v>1.0</v>
      </c>
      <c r="E11" s="10">
        <f t="shared" si="1"/>
        <v>105</v>
      </c>
      <c r="F11" s="39"/>
      <c r="G11" s="12">
        <f t="shared" si="2"/>
        <v>35</v>
      </c>
      <c r="H11" s="13">
        <f t="shared" si="3"/>
        <v>420</v>
      </c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ht="24.0" customHeight="1">
      <c r="A12" s="17"/>
      <c r="B12" s="18" t="s">
        <v>17</v>
      </c>
      <c r="C12" s="10">
        <v>105.0</v>
      </c>
      <c r="D12" s="16">
        <v>1.0</v>
      </c>
      <c r="E12" s="10">
        <f t="shared" si="1"/>
        <v>105</v>
      </c>
      <c r="F12" s="39"/>
      <c r="G12" s="12">
        <f t="shared" si="2"/>
        <v>35</v>
      </c>
      <c r="H12" s="13">
        <f t="shared" si="3"/>
        <v>420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ht="24.0" customHeight="1">
      <c r="A13" s="17"/>
      <c r="B13" s="18" t="s">
        <v>18</v>
      </c>
      <c r="C13" s="10">
        <v>105.0</v>
      </c>
      <c r="D13" s="16">
        <v>1.0</v>
      </c>
      <c r="E13" s="10">
        <f t="shared" si="1"/>
        <v>105</v>
      </c>
      <c r="F13" s="39"/>
      <c r="G13" s="12">
        <f t="shared" si="2"/>
        <v>35</v>
      </c>
      <c r="H13" s="13">
        <f t="shared" si="3"/>
        <v>420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ht="24.0" customHeight="1">
      <c r="A14" s="17"/>
      <c r="B14" s="18" t="s">
        <v>19</v>
      </c>
      <c r="C14" s="10">
        <v>105.0</v>
      </c>
      <c r="D14" s="16">
        <v>1.0</v>
      </c>
      <c r="E14" s="10">
        <f t="shared" si="1"/>
        <v>105</v>
      </c>
      <c r="F14" s="39"/>
      <c r="G14" s="12">
        <f t="shared" si="2"/>
        <v>35</v>
      </c>
      <c r="H14" s="13">
        <f t="shared" si="3"/>
        <v>420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ht="24.0" customHeight="1">
      <c r="A15" s="20"/>
      <c r="B15" s="18" t="s">
        <v>20</v>
      </c>
      <c r="C15" s="10">
        <v>105.0</v>
      </c>
      <c r="D15" s="16">
        <v>1.0</v>
      </c>
      <c r="E15" s="10">
        <f t="shared" si="1"/>
        <v>105</v>
      </c>
      <c r="F15" s="39"/>
      <c r="G15" s="12">
        <f t="shared" si="2"/>
        <v>35</v>
      </c>
      <c r="H15" s="13">
        <f t="shared" si="3"/>
        <v>420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ht="24.0" customHeight="1">
      <c r="A16" s="14" t="s">
        <v>21</v>
      </c>
      <c r="B16" s="18" t="s">
        <v>22</v>
      </c>
      <c r="C16" s="10">
        <v>22.5</v>
      </c>
      <c r="D16" s="16">
        <v>1.0</v>
      </c>
      <c r="E16" s="10">
        <f t="shared" si="1"/>
        <v>22.5</v>
      </c>
      <c r="F16" s="19" t="s">
        <v>10</v>
      </c>
      <c r="G16" s="12">
        <f t="shared" si="2"/>
        <v>7.5</v>
      </c>
      <c r="H16" s="13">
        <f t="shared" si="3"/>
        <v>90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ht="24.0" customHeight="1">
      <c r="A17" s="17"/>
      <c r="B17" s="18" t="s">
        <v>23</v>
      </c>
      <c r="C17" s="10">
        <v>10.5</v>
      </c>
      <c r="D17" s="16">
        <v>1.0</v>
      </c>
      <c r="E17" s="10">
        <f t="shared" si="1"/>
        <v>10.5</v>
      </c>
      <c r="F17" s="39"/>
      <c r="G17" s="12">
        <f t="shared" si="2"/>
        <v>3.5</v>
      </c>
      <c r="H17" s="13">
        <f t="shared" si="3"/>
        <v>42</v>
      </c>
      <c r="I17" s="21" t="s">
        <v>24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ht="24.0" customHeight="1">
      <c r="A18" s="17"/>
      <c r="B18" s="18" t="s">
        <v>25</v>
      </c>
      <c r="C18" s="10">
        <v>22.5</v>
      </c>
      <c r="D18" s="16">
        <v>1.0</v>
      </c>
      <c r="E18" s="10">
        <f t="shared" si="1"/>
        <v>22.5</v>
      </c>
      <c r="F18" s="39"/>
      <c r="G18" s="12">
        <f t="shared" si="2"/>
        <v>7.5</v>
      </c>
      <c r="H18" s="13">
        <f t="shared" si="3"/>
        <v>90</v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ht="24.0" customHeight="1">
      <c r="A19" s="17"/>
      <c r="B19" s="18" t="s">
        <v>26</v>
      </c>
      <c r="C19" s="10">
        <v>22.5</v>
      </c>
      <c r="D19" s="16">
        <v>1.0</v>
      </c>
      <c r="E19" s="10">
        <f t="shared" si="1"/>
        <v>22.5</v>
      </c>
      <c r="F19" s="39"/>
      <c r="G19" s="12">
        <f t="shared" si="2"/>
        <v>7.5</v>
      </c>
      <c r="H19" s="13">
        <f t="shared" si="3"/>
        <v>90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ht="24.0" customHeight="1">
      <c r="A20" s="17"/>
      <c r="B20" s="18" t="s">
        <v>27</v>
      </c>
      <c r="C20" s="10">
        <v>22.5</v>
      </c>
      <c r="D20" s="16">
        <v>1.0</v>
      </c>
      <c r="E20" s="10">
        <f t="shared" si="1"/>
        <v>22.5</v>
      </c>
      <c r="F20" s="39"/>
      <c r="G20" s="12">
        <f t="shared" si="2"/>
        <v>7.5</v>
      </c>
      <c r="H20" s="13">
        <f t="shared" si="3"/>
        <v>90</v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ht="24.0" customHeight="1">
      <c r="A21" s="20"/>
      <c r="B21" s="18" t="s">
        <v>28</v>
      </c>
      <c r="C21" s="10">
        <v>22.5</v>
      </c>
      <c r="D21" s="16">
        <v>1.0</v>
      </c>
      <c r="E21" s="10">
        <f t="shared" si="1"/>
        <v>22.5</v>
      </c>
      <c r="F21" s="39"/>
      <c r="G21" s="12">
        <f t="shared" si="2"/>
        <v>7.5</v>
      </c>
      <c r="H21" s="13">
        <f t="shared" si="3"/>
        <v>90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ht="24.75" customHeight="1">
      <c r="A22" s="22" t="s">
        <v>29</v>
      </c>
      <c r="B22" s="23"/>
      <c r="C22" s="23"/>
      <c r="D22" s="2"/>
      <c r="E22" s="24">
        <f>SUM(E4:E21)</f>
        <v>1170</v>
      </c>
      <c r="F22" s="40"/>
      <c r="G22" s="26">
        <f t="shared" ref="G22:H22" si="4">SUM(G3:G21)</f>
        <v>390</v>
      </c>
      <c r="H22" s="26">
        <f t="shared" si="4"/>
        <v>4680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</sheetData>
  <mergeCells count="6">
    <mergeCell ref="A3:B3"/>
    <mergeCell ref="A4:B4"/>
    <mergeCell ref="A5:A7"/>
    <mergeCell ref="A8:A15"/>
    <mergeCell ref="A16:A21"/>
    <mergeCell ref="A22:D22"/>
  </mergeCells>
  <conditionalFormatting sqref="D4:E21">
    <cfRule type="cellIs" dxfId="0" priority="1" operator="lessThan">
      <formula>1</formula>
    </cfRule>
  </conditionalFormatting>
  <drawing r:id="rId1"/>
</worksheet>
</file>