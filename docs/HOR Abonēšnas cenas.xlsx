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aivis.Biskaps\Documents\Claude\Projects\Horizon pārdošana\docs-qa\docs\"/>
    </mc:Choice>
  </mc:AlternateContent>
  <xr:revisionPtr revIDLastSave="0" documentId="13_ncr:1_{73D04544-2DA2-41A6-875C-6150FDB8232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nēšnas cenas" sheetId="2" r:id="rId1"/>
    <sheet name="BEZ mākoņrisinājuma līdz 30.06." sheetId="3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3" l="1"/>
  <c r="E21" i="3"/>
  <c r="G21" i="3" s="1"/>
  <c r="E20" i="3"/>
  <c r="H20" i="3" s="1"/>
  <c r="E19" i="3"/>
  <c r="H19" i="3" s="1"/>
  <c r="H18" i="3"/>
  <c r="G18" i="3"/>
  <c r="E18" i="3"/>
  <c r="E17" i="3"/>
  <c r="H17" i="3" s="1"/>
  <c r="G16" i="3"/>
  <c r="E16" i="3"/>
  <c r="H16" i="3" s="1"/>
  <c r="G15" i="3"/>
  <c r="E15" i="3"/>
  <c r="H15" i="3" s="1"/>
  <c r="E14" i="3"/>
  <c r="H14" i="3" s="1"/>
  <c r="H13" i="3"/>
  <c r="G13" i="3"/>
  <c r="E13" i="3"/>
  <c r="G12" i="3"/>
  <c r="E12" i="3"/>
  <c r="H12" i="3" s="1"/>
  <c r="H11" i="3"/>
  <c r="E11" i="3"/>
  <c r="G11" i="3" s="1"/>
  <c r="H10" i="3"/>
  <c r="G10" i="3"/>
  <c r="E10" i="3"/>
  <c r="E9" i="3"/>
  <c r="G9" i="3" s="1"/>
  <c r="H8" i="3"/>
  <c r="G8" i="3"/>
  <c r="E8" i="3"/>
  <c r="E7" i="3"/>
  <c r="H7" i="3" s="1"/>
  <c r="E6" i="3"/>
  <c r="H6" i="3" s="1"/>
  <c r="H5" i="3"/>
  <c r="E5" i="3"/>
  <c r="G5" i="3" s="1"/>
  <c r="E4" i="3"/>
  <c r="E22" i="3" s="1"/>
  <c r="H9" i="3" l="1"/>
  <c r="G14" i="3"/>
  <c r="H4" i="3"/>
  <c r="H22" i="3" s="1"/>
  <c r="G19" i="3"/>
  <c r="G4" i="3"/>
  <c r="G6" i="3"/>
  <c r="G20" i="3"/>
  <c r="G7" i="3"/>
  <c r="G17" i="3"/>
  <c r="G22" i="3" l="1"/>
</calcChain>
</file>

<file path=xl/sharedStrings.xml><?xml version="1.0" encoding="utf-8"?>
<sst xmlns="http://schemas.openxmlformats.org/spreadsheetml/2006/main" count="45" uniqueCount="43">
  <si>
    <t>Programmas komplektācija</t>
  </si>
  <si>
    <t>Abonēšanas cena ceturksnī (bez PVN)</t>
  </si>
  <si>
    <t>Skaits</t>
  </si>
  <si>
    <t>Summa  (bez PVN)</t>
  </si>
  <si>
    <t>Abonēšanas cena mēnesī (bez PVN)</t>
  </si>
  <si>
    <t>Abonēšanas cena gadā (bez PVN)</t>
  </si>
  <si>
    <t>Pamatpaka: (iekļauts 2 vienlaicīgie lietotāji, 1 uzņēmums, 20 darbinieki, Bāzes, Algu un Personāla, Noliktavas funkcionalitātes)</t>
  </si>
  <si>
    <t>Papildu apjomi</t>
  </si>
  <si>
    <t>Papildu uzņēmums</t>
  </si>
  <si>
    <t>Papildu lietotājs</t>
  </si>
  <si>
    <t>ir apjoma atlaides</t>
  </si>
  <si>
    <t>Papildu darbinieki (+10 darbinieki)</t>
  </si>
  <si>
    <t>Papildu pakas</t>
  </si>
  <si>
    <t>Mazumtirdzniecība</t>
  </si>
  <si>
    <t>Vairumtirdzniecība</t>
  </si>
  <si>
    <t>Ražošana</t>
  </si>
  <si>
    <t>Apsaimniekošana</t>
  </si>
  <si>
    <t>Resursu uzskaite</t>
  </si>
  <si>
    <t>Norēķini</t>
  </si>
  <si>
    <t>Integrācija</t>
  </si>
  <si>
    <t>Vairāku firmu pārvaldība</t>
  </si>
  <si>
    <t>HoP</t>
  </si>
  <si>
    <t>Personāls (+10 lietotāji)</t>
  </si>
  <si>
    <t>Esmu iepazinies (+10 lietotāji)</t>
  </si>
  <si>
    <t>pieejams tikai kopā ar HoP Personāls. Skaitam ir jāsakrīt ar HoP Personāls skaitu.</t>
  </si>
  <si>
    <t>Rēķini  (+10 lietotāji)</t>
  </si>
  <si>
    <t>Materiālie resursi  (+10 lietotāji)</t>
  </si>
  <si>
    <t>Laika vadība  (+10 lietotāji)</t>
  </si>
  <si>
    <t>Atskaites  (+10 lietotāji)</t>
  </si>
  <si>
    <t>Kopā (bez PVN):</t>
  </si>
  <si>
    <t>Cenas aprēķins</t>
  </si>
  <si>
    <t>Cena mēnesī (EUR bez PVN)</t>
  </si>
  <si>
    <t>PAMATS (2 Horizon lietotājiem, 20 darbiniekiem)</t>
  </si>
  <si>
    <t>Papildu +10 darbinieki (līdz 250)</t>
  </si>
  <si>
    <t>Papildu +10 darbinieki (no 251. darbinieka)</t>
  </si>
  <si>
    <t>Papildu 1 Horizon lietotājs (līdz 10)</t>
  </si>
  <si>
    <t>Papildu 1 Horizon lietotājs (no 11. lietotāja)</t>
  </si>
  <si>
    <t>GRĀMATVEDĪBA PLUS (20 darbiniekiem)</t>
  </si>
  <si>
    <t>PERSONĀLS (20 HoP lietotāji)</t>
  </si>
  <si>
    <t>Papildu +10 HoP lietotāji (līdz 250)</t>
  </si>
  <si>
    <t>Papildu +10 HoP lietotāji  (no 251. HoP lietotāja)</t>
  </si>
  <si>
    <t>BIZNESS</t>
  </si>
  <si>
    <t>Piedāvājums spēkā tikai klientiem, ar kuriem līgums par Horizon uzturēšanu vai abonēšanu noslēgts pirms 01.01.2020.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</si>
</sst>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9"/>
      <color theme="1"/>
      <name val="Arial"/>
    </font>
    <font>
      <sz val="10"/>
      <name val="Arial"/>
    </font>
    <font>
      <sz val="9"/>
      <color theme="1"/>
      <name val="Arial"/>
      <scheme val="minor"/>
    </font>
    <font>
      <sz val="9"/>
      <color theme="1"/>
      <name val="Arial"/>
    </font>
    <font>
      <i/>
      <sz val="9"/>
      <color theme="1"/>
      <name val="Calibri"/>
    </font>
    <font>
      <i/>
      <sz val="9"/>
      <color theme="1"/>
      <name val="Arial"/>
      <scheme val="minor"/>
    </font>
    <font>
      <sz val="10"/>
      <color theme="1"/>
      <name val="Arial"/>
      <scheme val="minor"/>
    </font>
    <font>
      <sz val="9"/>
      <color theme="1"/>
      <name val="Calibri"/>
    </font>
    <font>
      <b/>
      <sz val="9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3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0" borderId="0" xfId="0" applyFont="1"/>
    <xf numFmtId="2" fontId="4" fillId="0" borderId="3" xfId="0" applyNumberFormat="1" applyFont="1" applyBorder="1" applyAlignment="1">
      <alignment horizontal="right" vertical="center" wrapText="1"/>
    </xf>
    <xf numFmtId="0" fontId="4" fillId="0" borderId="3" xfId="0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left"/>
    </xf>
    <xf numFmtId="2" fontId="4" fillId="0" borderId="3" xfId="0" applyNumberFormat="1" applyFont="1" applyBorder="1" applyAlignment="1">
      <alignment horizontal="right" vertical="center"/>
    </xf>
    <xf numFmtId="2" fontId="4" fillId="0" borderId="3" xfId="0" applyNumberFormat="1" applyFont="1" applyBorder="1" applyAlignment="1">
      <alignment vertical="center"/>
    </xf>
    <xf numFmtId="0" fontId="4" fillId="0" borderId="3" xfId="0" applyFont="1" applyBorder="1" applyAlignment="1">
      <alignment horizontal="right" vertical="center" wrapText="1"/>
    </xf>
    <xf numFmtId="0" fontId="6" fillId="0" borderId="0" xfId="0" applyFont="1"/>
    <xf numFmtId="2" fontId="1" fillId="0" borderId="3" xfId="0" applyNumberFormat="1" applyFont="1" applyBorder="1" applyAlignment="1">
      <alignment horizontal="right" vertical="center" wrapText="1"/>
    </xf>
    <xf numFmtId="2" fontId="1" fillId="0" borderId="3" xfId="0" applyNumberFormat="1" applyFont="1" applyBorder="1" applyAlignment="1">
      <alignment horizontal="right" vertical="center"/>
    </xf>
    <xf numFmtId="0" fontId="1" fillId="2" borderId="6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wrapText="1"/>
    </xf>
    <xf numFmtId="0" fontId="7" fillId="0" borderId="3" xfId="0" applyFont="1" applyBorder="1"/>
    <xf numFmtId="0" fontId="7" fillId="3" borderId="0" xfId="0" applyFont="1" applyFill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2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1" fillId="2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4" fillId="0" borderId="1" xfId="0" applyFont="1" applyBorder="1" applyAlignment="1">
      <alignment horizontal="right" vertical="center" wrapText="1"/>
    </xf>
    <xf numFmtId="0" fontId="4" fillId="0" borderId="4" xfId="0" applyFont="1" applyBorder="1" applyAlignment="1">
      <alignment vertical="top" wrapText="1"/>
    </xf>
    <xf numFmtId="0" fontId="2" fillId="0" borderId="5" xfId="0" applyFont="1" applyBorder="1"/>
    <xf numFmtId="0" fontId="2" fillId="0" borderId="6" xfId="0" applyFont="1" applyBorder="1"/>
    <xf numFmtId="0" fontId="1" fillId="0" borderId="1" xfId="0" applyFont="1" applyBorder="1" applyAlignment="1">
      <alignment horizontal="right" vertical="center" wrapText="1"/>
    </xf>
    <xf numFmtId="0" fontId="2" fillId="0" borderId="7" xfId="0" applyFont="1" applyBorder="1"/>
  </cellXfs>
  <cellStyles count="1">
    <cellStyle name="Normal" xfId="0" builtinId="0"/>
  </cellStyles>
  <dxfs count="1">
    <dxf>
      <font>
        <color rgb="FFFFFFFF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5"/>
  <sheetViews>
    <sheetView tabSelected="1" workbookViewId="0"/>
  </sheetViews>
  <sheetFormatPr defaultColWidth="12.6640625" defaultRowHeight="15.75" customHeight="1" x14ac:dyDescent="0.25"/>
  <cols>
    <col min="1" max="1" width="62.77734375" customWidth="1"/>
    <col min="2" max="2" width="19.21875" customWidth="1"/>
  </cols>
  <sheetData>
    <row r="1" spans="1:2" ht="35.25" customHeight="1" x14ac:dyDescent="0.25">
      <c r="A1" s="13" t="s">
        <v>30</v>
      </c>
      <c r="B1" s="14" t="s">
        <v>31</v>
      </c>
    </row>
    <row r="2" spans="1:2" ht="23.25" customHeight="1" x14ac:dyDescent="0.25">
      <c r="A2" s="15" t="s">
        <v>32</v>
      </c>
      <c r="B2" s="16">
        <v>74</v>
      </c>
    </row>
    <row r="3" spans="1:2" ht="23.25" customHeight="1" x14ac:dyDescent="0.25">
      <c r="A3" s="15" t="s">
        <v>33</v>
      </c>
      <c r="B3" s="16">
        <v>6.5</v>
      </c>
    </row>
    <row r="4" spans="1:2" ht="23.25" customHeight="1" x14ac:dyDescent="0.25">
      <c r="A4" s="15" t="s">
        <v>34</v>
      </c>
      <c r="B4" s="16">
        <v>4</v>
      </c>
    </row>
    <row r="5" spans="1:2" ht="23.25" customHeight="1" x14ac:dyDescent="0.25">
      <c r="A5" s="15" t="s">
        <v>35</v>
      </c>
      <c r="B5" s="16">
        <v>36</v>
      </c>
    </row>
    <row r="6" spans="1:2" ht="23.25" customHeight="1" x14ac:dyDescent="0.25">
      <c r="A6" s="15" t="s">
        <v>36</v>
      </c>
      <c r="B6" s="16">
        <v>33</v>
      </c>
    </row>
    <row r="7" spans="1:2" ht="23.25" customHeight="1" x14ac:dyDescent="0.25">
      <c r="A7" s="15" t="s">
        <v>37</v>
      </c>
      <c r="B7" s="16">
        <v>25</v>
      </c>
    </row>
    <row r="8" spans="1:2" ht="23.25" customHeight="1" x14ac:dyDescent="0.25">
      <c r="A8" s="15" t="s">
        <v>33</v>
      </c>
      <c r="B8" s="16">
        <v>7</v>
      </c>
    </row>
    <row r="9" spans="1:2" ht="23.25" customHeight="1" x14ac:dyDescent="0.25">
      <c r="A9" s="15" t="s">
        <v>34</v>
      </c>
      <c r="B9" s="16">
        <v>5</v>
      </c>
    </row>
    <row r="10" spans="1:2" ht="23.25" customHeight="1" x14ac:dyDescent="0.25">
      <c r="A10" s="15" t="s">
        <v>38</v>
      </c>
      <c r="B10" s="16">
        <v>25</v>
      </c>
    </row>
    <row r="11" spans="1:2" ht="23.25" customHeight="1" x14ac:dyDescent="0.25">
      <c r="A11" s="15" t="s">
        <v>39</v>
      </c>
      <c r="B11" s="16">
        <v>12.5</v>
      </c>
    </row>
    <row r="12" spans="1:2" ht="23.25" customHeight="1" x14ac:dyDescent="0.25">
      <c r="A12" s="15" t="s">
        <v>40</v>
      </c>
      <c r="B12" s="16">
        <v>9</v>
      </c>
    </row>
    <row r="13" spans="1:2" ht="23.25" customHeight="1" x14ac:dyDescent="0.25">
      <c r="A13" s="15" t="s">
        <v>41</v>
      </c>
      <c r="B13" s="16">
        <v>46</v>
      </c>
    </row>
    <row r="14" spans="1:2" ht="23.25" customHeight="1" x14ac:dyDescent="0.25"/>
    <row r="15" spans="1:2" ht="23.2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1"/>
  <sheetViews>
    <sheetView workbookViewId="0"/>
  </sheetViews>
  <sheetFormatPr defaultColWidth="12.6640625" defaultRowHeight="15.75" customHeight="1" x14ac:dyDescent="0.25"/>
  <cols>
    <col min="1" max="1" width="8.33203125" customWidth="1"/>
    <col min="2" max="2" width="37.33203125" customWidth="1"/>
  </cols>
  <sheetData>
    <row r="1" spans="1:25" ht="13.2" x14ac:dyDescent="0.25">
      <c r="A1" s="17" t="s">
        <v>42</v>
      </c>
      <c r="B1" s="18"/>
      <c r="C1" s="19"/>
      <c r="D1" s="20"/>
      <c r="E1" s="19"/>
      <c r="F1" s="19"/>
      <c r="G1" s="19"/>
      <c r="H1" s="1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3.2" x14ac:dyDescent="0.25">
      <c r="A2" s="18"/>
      <c r="B2" s="18"/>
      <c r="C2" s="19"/>
      <c r="D2" s="20"/>
      <c r="E2" s="19"/>
      <c r="F2" s="19"/>
      <c r="G2" s="19"/>
      <c r="H2" s="1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36" x14ac:dyDescent="0.25">
      <c r="A3" s="23" t="s">
        <v>0</v>
      </c>
      <c r="B3" s="24"/>
      <c r="C3" s="1" t="s">
        <v>1</v>
      </c>
      <c r="D3" s="2" t="s">
        <v>2</v>
      </c>
      <c r="E3" s="1" t="s">
        <v>3</v>
      </c>
      <c r="F3" s="19"/>
      <c r="G3" s="1" t="s">
        <v>4</v>
      </c>
      <c r="H3" s="1" t="s">
        <v>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31.5" customHeight="1" x14ac:dyDescent="0.25">
      <c r="A4" s="25" t="s">
        <v>6</v>
      </c>
      <c r="B4" s="24"/>
      <c r="C4" s="4">
        <v>108</v>
      </c>
      <c r="D4" s="5">
        <v>1</v>
      </c>
      <c r="E4" s="4">
        <f t="shared" ref="E4:E21" si="0">C4*D4</f>
        <v>108</v>
      </c>
      <c r="F4" s="21"/>
      <c r="G4" s="7">
        <f t="shared" ref="G4:G21" si="1">E4/3</f>
        <v>36</v>
      </c>
      <c r="H4" s="8">
        <f t="shared" ref="H4:H21" si="2">E4*4</f>
        <v>432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24" customHeight="1" x14ac:dyDescent="0.25">
      <c r="A5" s="26" t="s">
        <v>7</v>
      </c>
      <c r="B5" s="9" t="s">
        <v>8</v>
      </c>
      <c r="C5" s="4">
        <v>24</v>
      </c>
      <c r="D5" s="5">
        <v>1</v>
      </c>
      <c r="E5" s="4">
        <f t="shared" si="0"/>
        <v>24</v>
      </c>
      <c r="F5" s="21"/>
      <c r="G5" s="7">
        <f t="shared" si="1"/>
        <v>8</v>
      </c>
      <c r="H5" s="8">
        <f t="shared" si="2"/>
        <v>96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24" customHeight="1" x14ac:dyDescent="0.25">
      <c r="A6" s="27"/>
      <c r="B6" s="9" t="s">
        <v>9</v>
      </c>
      <c r="C6" s="4">
        <v>63</v>
      </c>
      <c r="D6" s="5">
        <v>1</v>
      </c>
      <c r="E6" s="4">
        <f t="shared" si="0"/>
        <v>63</v>
      </c>
      <c r="F6" s="21"/>
      <c r="G6" s="7">
        <f t="shared" si="1"/>
        <v>21</v>
      </c>
      <c r="H6" s="8">
        <f t="shared" si="2"/>
        <v>252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24" customHeight="1" x14ac:dyDescent="0.25">
      <c r="A7" s="28"/>
      <c r="B7" s="9" t="s">
        <v>11</v>
      </c>
      <c r="C7" s="4">
        <v>12</v>
      </c>
      <c r="D7" s="5">
        <v>1</v>
      </c>
      <c r="E7" s="4">
        <f t="shared" si="0"/>
        <v>12</v>
      </c>
      <c r="F7" s="21"/>
      <c r="G7" s="7">
        <f t="shared" si="1"/>
        <v>4</v>
      </c>
      <c r="H7" s="8">
        <f t="shared" si="2"/>
        <v>48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ht="24" customHeight="1" x14ac:dyDescent="0.25">
      <c r="A8" s="26" t="s">
        <v>12</v>
      </c>
      <c r="B8" s="9" t="s">
        <v>13</v>
      </c>
      <c r="C8" s="4">
        <v>105</v>
      </c>
      <c r="D8" s="5">
        <v>1</v>
      </c>
      <c r="E8" s="4">
        <f t="shared" si="0"/>
        <v>105</v>
      </c>
      <c r="F8" s="21"/>
      <c r="G8" s="7">
        <f t="shared" si="1"/>
        <v>35</v>
      </c>
      <c r="H8" s="8">
        <f t="shared" si="2"/>
        <v>420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ht="24" customHeight="1" x14ac:dyDescent="0.25">
      <c r="A9" s="27"/>
      <c r="B9" s="9" t="s">
        <v>14</v>
      </c>
      <c r="C9" s="4">
        <v>105</v>
      </c>
      <c r="D9" s="5">
        <v>1</v>
      </c>
      <c r="E9" s="4">
        <f t="shared" si="0"/>
        <v>105</v>
      </c>
      <c r="F9" s="21"/>
      <c r="G9" s="7">
        <f t="shared" si="1"/>
        <v>35</v>
      </c>
      <c r="H9" s="8">
        <f t="shared" si="2"/>
        <v>420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24" customHeight="1" x14ac:dyDescent="0.25">
      <c r="A10" s="27"/>
      <c r="B10" s="9" t="s">
        <v>15</v>
      </c>
      <c r="C10" s="4">
        <v>105</v>
      </c>
      <c r="D10" s="5">
        <v>1</v>
      </c>
      <c r="E10" s="4">
        <f t="shared" si="0"/>
        <v>105</v>
      </c>
      <c r="F10" s="21"/>
      <c r="G10" s="7">
        <f t="shared" si="1"/>
        <v>35</v>
      </c>
      <c r="H10" s="8">
        <f t="shared" si="2"/>
        <v>420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24" customHeight="1" x14ac:dyDescent="0.25">
      <c r="A11" s="27"/>
      <c r="B11" s="9" t="s">
        <v>16</v>
      </c>
      <c r="C11" s="4">
        <v>105</v>
      </c>
      <c r="D11" s="5">
        <v>1</v>
      </c>
      <c r="E11" s="4">
        <f t="shared" si="0"/>
        <v>105</v>
      </c>
      <c r="F11" s="21"/>
      <c r="G11" s="7">
        <f t="shared" si="1"/>
        <v>35</v>
      </c>
      <c r="H11" s="8">
        <f t="shared" si="2"/>
        <v>420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24" customHeight="1" x14ac:dyDescent="0.25">
      <c r="A12" s="27"/>
      <c r="B12" s="9" t="s">
        <v>17</v>
      </c>
      <c r="C12" s="4">
        <v>105</v>
      </c>
      <c r="D12" s="5">
        <v>1</v>
      </c>
      <c r="E12" s="4">
        <f t="shared" si="0"/>
        <v>105</v>
      </c>
      <c r="F12" s="21"/>
      <c r="G12" s="7">
        <f t="shared" si="1"/>
        <v>35</v>
      </c>
      <c r="H12" s="8">
        <f t="shared" si="2"/>
        <v>420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24" customHeight="1" x14ac:dyDescent="0.25">
      <c r="A13" s="27"/>
      <c r="B13" s="9" t="s">
        <v>18</v>
      </c>
      <c r="C13" s="4">
        <v>105</v>
      </c>
      <c r="D13" s="5">
        <v>1</v>
      </c>
      <c r="E13" s="4">
        <f t="shared" si="0"/>
        <v>105</v>
      </c>
      <c r="F13" s="21"/>
      <c r="G13" s="7">
        <f t="shared" si="1"/>
        <v>35</v>
      </c>
      <c r="H13" s="8">
        <f t="shared" si="2"/>
        <v>420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ht="24" customHeight="1" x14ac:dyDescent="0.25">
      <c r="A14" s="27"/>
      <c r="B14" s="9" t="s">
        <v>19</v>
      </c>
      <c r="C14" s="4">
        <v>105</v>
      </c>
      <c r="D14" s="5">
        <v>1</v>
      </c>
      <c r="E14" s="4">
        <f t="shared" si="0"/>
        <v>105</v>
      </c>
      <c r="F14" s="21"/>
      <c r="G14" s="7">
        <f t="shared" si="1"/>
        <v>35</v>
      </c>
      <c r="H14" s="8">
        <f t="shared" si="2"/>
        <v>420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ht="24" customHeight="1" x14ac:dyDescent="0.25">
      <c r="A15" s="28"/>
      <c r="B15" s="9" t="s">
        <v>20</v>
      </c>
      <c r="C15" s="4">
        <v>105</v>
      </c>
      <c r="D15" s="5">
        <v>1</v>
      </c>
      <c r="E15" s="4">
        <f t="shared" si="0"/>
        <v>105</v>
      </c>
      <c r="F15" s="21"/>
      <c r="G15" s="7">
        <f t="shared" si="1"/>
        <v>35</v>
      </c>
      <c r="H15" s="8">
        <f t="shared" si="2"/>
        <v>420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ht="24" customHeight="1" x14ac:dyDescent="0.25">
      <c r="A16" s="26" t="s">
        <v>21</v>
      </c>
      <c r="B16" s="9" t="s">
        <v>22</v>
      </c>
      <c r="C16" s="4">
        <v>22.5</v>
      </c>
      <c r="D16" s="5">
        <v>1</v>
      </c>
      <c r="E16" s="4">
        <f t="shared" si="0"/>
        <v>22.5</v>
      </c>
      <c r="F16" s="6" t="s">
        <v>10</v>
      </c>
      <c r="G16" s="7">
        <f t="shared" si="1"/>
        <v>7.5</v>
      </c>
      <c r="H16" s="8">
        <f t="shared" si="2"/>
        <v>90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ht="24" customHeight="1" x14ac:dyDescent="0.25">
      <c r="A17" s="27"/>
      <c r="B17" s="9" t="s">
        <v>23</v>
      </c>
      <c r="C17" s="4">
        <v>10.5</v>
      </c>
      <c r="D17" s="5">
        <v>1</v>
      </c>
      <c r="E17" s="4">
        <f t="shared" si="0"/>
        <v>10.5</v>
      </c>
      <c r="F17" s="21"/>
      <c r="G17" s="7">
        <f t="shared" si="1"/>
        <v>3.5</v>
      </c>
      <c r="H17" s="8">
        <f t="shared" si="2"/>
        <v>42</v>
      </c>
      <c r="I17" s="10" t="s">
        <v>24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ht="24" customHeight="1" x14ac:dyDescent="0.25">
      <c r="A18" s="27"/>
      <c r="B18" s="9" t="s">
        <v>25</v>
      </c>
      <c r="C18" s="4">
        <v>22.5</v>
      </c>
      <c r="D18" s="5">
        <v>1</v>
      </c>
      <c r="E18" s="4">
        <f t="shared" si="0"/>
        <v>22.5</v>
      </c>
      <c r="F18" s="21"/>
      <c r="G18" s="7">
        <f t="shared" si="1"/>
        <v>7.5</v>
      </c>
      <c r="H18" s="8">
        <f t="shared" si="2"/>
        <v>90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ht="24" customHeight="1" x14ac:dyDescent="0.25">
      <c r="A19" s="27"/>
      <c r="B19" s="9" t="s">
        <v>26</v>
      </c>
      <c r="C19" s="4">
        <v>22.5</v>
      </c>
      <c r="D19" s="5">
        <v>1</v>
      </c>
      <c r="E19" s="4">
        <f t="shared" si="0"/>
        <v>22.5</v>
      </c>
      <c r="F19" s="21"/>
      <c r="G19" s="7">
        <f t="shared" si="1"/>
        <v>7.5</v>
      </c>
      <c r="H19" s="8">
        <f t="shared" si="2"/>
        <v>90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ht="24" customHeight="1" x14ac:dyDescent="0.25">
      <c r="A20" s="27"/>
      <c r="B20" s="9" t="s">
        <v>27</v>
      </c>
      <c r="C20" s="4">
        <v>22.5</v>
      </c>
      <c r="D20" s="5">
        <v>1</v>
      </c>
      <c r="E20" s="4">
        <f t="shared" si="0"/>
        <v>22.5</v>
      </c>
      <c r="F20" s="21"/>
      <c r="G20" s="7">
        <f t="shared" si="1"/>
        <v>7.5</v>
      </c>
      <c r="H20" s="8">
        <f t="shared" si="2"/>
        <v>90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ht="24" customHeight="1" x14ac:dyDescent="0.25">
      <c r="A21" s="28"/>
      <c r="B21" s="9" t="s">
        <v>28</v>
      </c>
      <c r="C21" s="4">
        <v>22.5</v>
      </c>
      <c r="D21" s="5">
        <v>1</v>
      </c>
      <c r="E21" s="4">
        <f t="shared" si="0"/>
        <v>22.5</v>
      </c>
      <c r="F21" s="21"/>
      <c r="G21" s="7">
        <f t="shared" si="1"/>
        <v>7.5</v>
      </c>
      <c r="H21" s="8">
        <f t="shared" si="2"/>
        <v>90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ht="24.75" customHeight="1" x14ac:dyDescent="0.25">
      <c r="A22" s="29" t="s">
        <v>29</v>
      </c>
      <c r="B22" s="30"/>
      <c r="C22" s="30"/>
      <c r="D22" s="24"/>
      <c r="E22" s="11">
        <f>SUM(E4:E21)</f>
        <v>1170</v>
      </c>
      <c r="F22" s="22"/>
      <c r="G22" s="12">
        <f t="shared" ref="G22:H22" si="3">SUM(G3:G21)</f>
        <v>390</v>
      </c>
      <c r="H22" s="12">
        <f t="shared" si="3"/>
        <v>4680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1:25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1:25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1:25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1:25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1:25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1:25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1:25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1:25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1:25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1:25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1:25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1:25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1:25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1:25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1:25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1:25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1:25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1:25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1:25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1:25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1:25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1:25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1:25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1:25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1:25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1:25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1:25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spans="1:25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spans="1:25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spans="1:25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spans="1:25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spans="1:25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spans="1:25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spans="1:25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spans="1:25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spans="1:25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spans="1:25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spans="1:25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spans="1:25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spans="1:25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spans="1:25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spans="1:25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spans="1:25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spans="1:25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spans="1:25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spans="1:25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spans="1:25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spans="1:25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spans="1:25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spans="1:25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spans="1:25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spans="1:25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spans="1:25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spans="1:25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spans="1:25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spans="1:25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spans="1:25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spans="1:25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spans="1:25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spans="1:25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spans="1:25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spans="1:25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spans="1:25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spans="1:25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spans="1:25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spans="1:25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spans="1:25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spans="1:25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spans="1:25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spans="1:25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spans="1:25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spans="1:25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spans="1:25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spans="1:25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spans="1:25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spans="1:25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spans="1:25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spans="1:25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spans="1:25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spans="1:25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spans="1:25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spans="1:25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spans="1:25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spans="1:25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spans="1:25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spans="1:25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spans="1:25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spans="1:25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spans="1:25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spans="1:25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spans="1:25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spans="1:25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spans="1:25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spans="1:25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spans="1:25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spans="1:25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spans="1:25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spans="1:25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spans="1:25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spans="1:25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spans="1:25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spans="1:25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spans="1:25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spans="1:25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spans="1:25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spans="1:25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spans="1:25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spans="1:25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spans="1:25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spans="1:25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spans="1:25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spans="1:25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spans="1:25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5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spans="1:25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spans="1:25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spans="1:25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spans="1:25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spans="1:25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spans="1:25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spans="1:25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spans="1:25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spans="1:25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spans="1:25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spans="1:25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spans="1:25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spans="1:25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spans="1:25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spans="1:25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spans="1:25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spans="1:25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spans="1:25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spans="1:25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spans="1:25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spans="1:25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spans="1:25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spans="1:25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spans="1:25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spans="1:25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spans="1:25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spans="1:25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spans="1:25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spans="1:25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spans="1:25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spans="1:25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spans="1:25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spans="1:25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spans="1:25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spans="1:25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spans="1:25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spans="1:25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spans="1:25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spans="1:25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spans="1:25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spans="1:25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spans="1:25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spans="1:25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spans="1:25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spans="1:25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spans="1:25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spans="1:25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spans="1:25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spans="1:25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spans="1:25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spans="1:25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spans="1:25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spans="1:25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spans="1:25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spans="1:25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spans="1:25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spans="1:25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spans="1:25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spans="1:25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spans="1:25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spans="1:25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spans="1:25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spans="1:25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spans="1:25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spans="1:25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spans="1:25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spans="1:25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spans="1:25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spans="1:25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spans="1:25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spans="1:25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spans="1:25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spans="1:25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spans="1:25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spans="1:25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spans="1:25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spans="1:25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spans="1:25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spans="1:25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spans="1:25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spans="1:25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spans="1:25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spans="1:25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spans="1:25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spans="1:25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spans="1:25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spans="1:25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spans="1:25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spans="1:25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spans="1:25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spans="1:25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spans="1:25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spans="1:25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spans="1:25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spans="1:25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spans="1:25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spans="1:25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spans="1:25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spans="1:25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spans="1:25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spans="1:25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spans="1:25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spans="1:25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spans="1:25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spans="1:25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spans="1:25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spans="1:25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spans="1:25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spans="1:25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spans="1:25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spans="1:25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spans="1:25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spans="1:25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spans="1:25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spans="1:25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spans="1:25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spans="1:25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spans="1:25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spans="1:25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spans="1:25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spans="1:25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spans="1:25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spans="1:25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spans="1:25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spans="1:25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spans="1:25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spans="1:25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spans="1:25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spans="1:25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spans="1:25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spans="1:25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spans="1:25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spans="1:25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spans="1:25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spans="1:25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spans="1:25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spans="1:25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spans="1:25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spans="1:25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spans="1:25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spans="1:25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spans="1:25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spans="1:25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spans="1:25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spans="1:25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spans="1:25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spans="1:25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spans="1:25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spans="1:25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spans="1:25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spans="1:25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spans="1:25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spans="1:25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spans="1:25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spans="1:25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spans="1:25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spans="1:25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spans="1:25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spans="1:25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spans="1:25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spans="1:25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spans="1:25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spans="1:25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spans="1:25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spans="1:25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spans="1:25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spans="1:25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spans="1:25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spans="1:25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spans="1:25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spans="1:25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spans="1:25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spans="1:25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spans="1:25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spans="1:25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spans="1:25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spans="1:25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spans="1:25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spans="1:25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spans="1:25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spans="1:25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spans="1:25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spans="1:25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spans="1:25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spans="1:25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spans="1:25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spans="1:25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spans="1:25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spans="1:25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spans="1:25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spans="1:25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spans="1:25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spans="1:25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spans="1:25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spans="1:25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spans="1:25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spans="1:25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spans="1:25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spans="1:25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spans="1:25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spans="1:25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spans="1:25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spans="1:25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spans="1:25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spans="1:25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spans="1:25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spans="1:25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spans="1:25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spans="1:25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spans="1:25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spans="1:25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spans="1:25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spans="1:25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spans="1:25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spans="1:25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spans="1:25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spans="1:25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spans="1:25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spans="1:25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spans="1:25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spans="1:25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spans="1:25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spans="1:25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spans="1:25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spans="1:25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spans="1:25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spans="1:25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spans="1:25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spans="1:25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spans="1:25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spans="1:25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spans="1:25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spans="1:25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spans="1:25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spans="1:25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spans="1:25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spans="1:25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spans="1:25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spans="1:25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spans="1:25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spans="1:25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spans="1:25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spans="1:25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spans="1:25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spans="1:25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spans="1:25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spans="1:25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spans="1:25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spans="1:25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spans="1:25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spans="1:25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spans="1:25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spans="1:25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spans="1:25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spans="1:25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spans="1:25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spans="1:25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spans="1:25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spans="1:25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spans="1:25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spans="1:25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spans="1:25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spans="1:25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spans="1:25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spans="1:25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spans="1:25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spans="1:25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spans="1:25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spans="1:25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spans="1:25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spans="1:25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spans="1:25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spans="1:25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spans="1:25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spans="1:25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spans="1:25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spans="1:25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spans="1:25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spans="1:25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spans="1:25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spans="1:25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spans="1:25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spans="1:25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spans="1:25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spans="1:25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spans="1:25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spans="1:25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spans="1:25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spans="1:25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spans="1:25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spans="1:25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spans="1:25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spans="1:25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spans="1:25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spans="1:25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spans="1:25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spans="1:25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spans="1:25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spans="1:25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spans="1:25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spans="1:25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spans="1:25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spans="1:25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spans="1:25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spans="1:25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spans="1:25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spans="1:25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spans="1:25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spans="1:25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spans="1:25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spans="1:25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spans="1:25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spans="1:25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spans="1:25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spans="1:25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spans="1:25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spans="1:25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spans="1:25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spans="1:25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spans="1:25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spans="1:25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spans="1:25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spans="1:25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spans="1:25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spans="1:25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spans="1:25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spans="1:25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spans="1:25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spans="1:25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spans="1:25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spans="1:25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spans="1:25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spans="1:25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spans="1:25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spans="1:25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spans="1:25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spans="1:25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spans="1:25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spans="1:25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spans="1:25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spans="1:25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spans="1:25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spans="1:25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spans="1:25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spans="1:25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spans="1:25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spans="1:25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spans="1:25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spans="1:25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spans="1:25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spans="1:25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spans="1:25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spans="1:25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spans="1:25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spans="1:25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spans="1:25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spans="1:25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spans="1:25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spans="1:25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spans="1:25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spans="1:25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spans="1:25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spans="1:25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spans="1:25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spans="1:25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 spans="1:25" ht="13.2" x14ac:dyDescent="0.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</sheetData>
  <mergeCells count="6">
    <mergeCell ref="A22:D22"/>
    <mergeCell ref="A3:B3"/>
    <mergeCell ref="A4:B4"/>
    <mergeCell ref="A5:A7"/>
    <mergeCell ref="A8:A15"/>
    <mergeCell ref="A16:A21"/>
  </mergeCells>
  <conditionalFormatting sqref="D4:E21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abonēšnas cenas</vt:lpstr>
      <vt:lpstr>BEZ mākoņrisinājuma līdz 30.06.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Raivis Bīskaps</cp:lastModifiedBy>
  <dcterms:modified xsi:type="dcterms:W3CDTF">2026-05-19T07:20:56Z</dcterms:modified>
</cp:coreProperties>
</file>